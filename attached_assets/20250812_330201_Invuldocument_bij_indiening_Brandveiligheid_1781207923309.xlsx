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bowonen.sharepoint.com/teams/Vastgoed/Shared Documents/General/Planmatig onderhoud/Begroting 2026/2026-BRANDVEILIGHEID-PROJECTEN/330201 - Burgemeester Wallerstraat/02. prijsvorming/"/>
    </mc:Choice>
  </mc:AlternateContent>
  <xr:revisionPtr revIDLastSave="69" documentId="13_ncr:1_{7AE244CC-60FE-4FCE-A98E-DC1D3A7E5729}" xr6:coauthVersionLast="47" xr6:coauthVersionMax="47" xr10:uidLastSave="{EC0031BB-AFFC-44D0-9EDB-7ABBBCB5B86B}"/>
  <bookViews>
    <workbookView xWindow="28680" yWindow="-120" windowWidth="29040" windowHeight="15720" xr2:uid="{00000000-000D-0000-FFFF-FFFF00000000}"/>
  </bookViews>
  <sheets>
    <sheet name="Kostenraming" sheetId="1" r:id="rId1"/>
  </sheets>
  <definedNames>
    <definedName name="_xlnm.Print_Area" localSheetId="0">Kostenraming!$C$3:$K$32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2" i="1" l="1"/>
  <c r="G17" i="1" l="1"/>
  <c r="J17" i="1" s="1"/>
  <c r="G21" i="1"/>
  <c r="J21" i="1" s="1"/>
  <c r="K21" i="1"/>
  <c r="G22" i="1"/>
  <c r="J22" i="1" s="1"/>
  <c r="K22" i="1"/>
  <c r="G23" i="1"/>
  <c r="J23" i="1" s="1"/>
  <c r="K23" i="1"/>
  <c r="G24" i="1"/>
  <c r="J24" i="1" s="1"/>
  <c r="K24" i="1"/>
  <c r="G25" i="1"/>
  <c r="J25" i="1" s="1"/>
  <c r="K25" i="1"/>
  <c r="K30" i="1"/>
  <c r="K31" i="1"/>
  <c r="K32" i="1"/>
  <c r="K11" i="1"/>
  <c r="K12" i="1"/>
  <c r="K13" i="1"/>
  <c r="K14" i="1"/>
  <c r="K15" i="1"/>
  <c r="K16" i="1"/>
  <c r="K18" i="1"/>
  <c r="K19" i="1"/>
  <c r="K20" i="1"/>
  <c r="K10" i="1"/>
  <c r="K29" i="1"/>
  <c r="G14" i="1"/>
  <c r="J14" i="1" s="1"/>
  <c r="G15" i="1"/>
  <c r="J15" i="1" s="1"/>
  <c r="G16" i="1"/>
  <c r="J16" i="1" s="1"/>
  <c r="G18" i="1"/>
  <c r="J18" i="1" s="1"/>
  <c r="G30" i="1"/>
  <c r="J30" i="1" s="1"/>
  <c r="G31" i="1"/>
  <c r="J31" i="1" s="1"/>
  <c r="G32" i="1"/>
  <c r="J32" i="1" s="1"/>
  <c r="G10" i="1"/>
  <c r="J10" i="1" s="1"/>
  <c r="G20" i="1"/>
  <c r="J20" i="1" s="1"/>
  <c r="G19" i="1"/>
  <c r="J19" i="1" s="1"/>
  <c r="G13" i="1"/>
  <c r="J13" i="1" s="1"/>
  <c r="G12" i="1"/>
  <c r="J12" i="1" s="1"/>
  <c r="G11" i="1"/>
  <c r="J11" i="1" s="1"/>
  <c r="H26" i="1"/>
  <c r="H27" i="1"/>
  <c r="J26" i="1" l="1"/>
  <c r="G29" i="1"/>
  <c r="J29" i="1" s="1"/>
  <c r="J33" i="1" l="1"/>
  <c r="J44" i="1" s="1"/>
</calcChain>
</file>

<file path=xl/sharedStrings.xml><?xml version="1.0" encoding="utf-8"?>
<sst xmlns="http://schemas.openxmlformats.org/spreadsheetml/2006/main" count="85" uniqueCount="56">
  <si>
    <t>Project</t>
  </si>
  <si>
    <t>Onderwerp</t>
  </si>
  <si>
    <t>Totaal</t>
  </si>
  <si>
    <t>Maatregel</t>
  </si>
  <si>
    <t>Uitgangspunten</t>
  </si>
  <si>
    <t>Eenheid</t>
  </si>
  <si>
    <t>Woningen</t>
  </si>
  <si>
    <t>Snag</t>
  </si>
  <si>
    <t>Aantal per woning/ruimte</t>
  </si>
  <si>
    <t>Totaal Aantal</t>
  </si>
  <si>
    <t xml:space="preserve">Aantal objecten </t>
  </si>
  <si>
    <t xml:space="preserve">Vereiste aanpassingen </t>
  </si>
  <si>
    <t>Opdrachtgever</t>
  </si>
  <si>
    <t>Datum</t>
  </si>
  <si>
    <t>Kosten (excl. btw)</t>
  </si>
  <si>
    <t>st.</t>
  </si>
  <si>
    <t>demonteren en monteren koof/ombouw</t>
  </si>
  <si>
    <t xml:space="preserve">Brandwerende pui plaatsen </t>
  </si>
  <si>
    <t>Kunststof 32mm/ 50mm - knelmanchet incl. sparing afdichten</t>
  </si>
  <si>
    <t>aluminium leiding (bijv. RGA) - sparing afdichten, kitten en knelmanchet (FC6)</t>
  </si>
  <si>
    <t>kunststof leiding 75mm/ 125mm - sparing afdichten, kitten en knelmanchet (FC3)</t>
  </si>
  <si>
    <t>Sparing (groot) - afdichting steenwol, kit en coating</t>
  </si>
  <si>
    <t>Stalen leiding (≤30mm) - brandwerende coating / kit</t>
  </si>
  <si>
    <t>Kabeldoorvoeringen, PE-buisjes (&lt;25mm)</t>
  </si>
  <si>
    <t>Tochtstrips plaatsen / vervangen voor onbrandbare tochtstrips</t>
  </si>
  <si>
    <t>Aanslag opdikken (≥ 25 mm)</t>
  </si>
  <si>
    <t>brandwerende binnendeur (WBDBO 30 minuten) - voordeur woning</t>
  </si>
  <si>
    <t>Plaatsen vrijloopdeudranger</t>
  </si>
  <si>
    <t>Algemene ruimten</t>
  </si>
  <si>
    <t xml:space="preserve">Ventilatiekanaal (125 mm) - vlinderklep </t>
  </si>
  <si>
    <t>Meterkast (standaard) - onderzijde vloer afwerken met brandwerend materiaal - moeilijk</t>
  </si>
  <si>
    <t>Brandwerend glas (EW30) - binnenglas</t>
  </si>
  <si>
    <t>WBO Wonen</t>
  </si>
  <si>
    <t>Burgemeester Wallerstraat 28 t/m 74, Oldenzaal</t>
  </si>
  <si>
    <t>Woningtoegangsdeur</t>
  </si>
  <si>
    <t>Doorvoeringen keuken/cv-ketel</t>
  </si>
  <si>
    <t>Doorvoeringen toilet</t>
  </si>
  <si>
    <t>Verlaagd plafond demonteren/monteren</t>
  </si>
  <si>
    <t>Doorvoeringen meterkast</t>
  </si>
  <si>
    <t>Doorvoeringen badkamer</t>
  </si>
  <si>
    <t>Brandscheiding bergingen</t>
  </si>
  <si>
    <t>Doorvoeringen bergingen</t>
  </si>
  <si>
    <t>m2</t>
  </si>
  <si>
    <t>deur</t>
  </si>
  <si>
    <t>m1</t>
  </si>
  <si>
    <t>Totaal projectkosten</t>
  </si>
  <si>
    <t>Prijs per eenheid</t>
  </si>
  <si>
    <t>Algemene kosten</t>
  </si>
  <si>
    <t>Algemeen</t>
  </si>
  <si>
    <t>Kosten projectleider</t>
  </si>
  <si>
    <t>pst</t>
  </si>
  <si>
    <t>Kosten werkvoorbereider</t>
  </si>
  <si>
    <t>Kosten uitvoerder</t>
  </si>
  <si>
    <t>Kosten schaftgelegenheid</t>
  </si>
  <si>
    <t>Kosten bewonerscommunicatie</t>
  </si>
  <si>
    <t>Overige algemene kosten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</si>
</sst>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€&quot;\ * #,##0.00_ ;_ &quot;€&quot;\ * \-#,##0.00_ ;_ &quot;€&quot;\ * &quot;-&quot;??_ ;_ @_ "/>
    <numFmt numFmtId="166" formatCode="_ &quot;€&quot;\ * #,##0.00_ ;_ &quot;€&quot;\ * \-#,##0.00_ ;_ &quot;€&quot;\ * &quot;-&quot;??_ ;_ @_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sz val="10.5"/>
      <color rgb="FFFF0000"/>
      <name val="Calibri"/>
      <family val="2"/>
      <scheme val="minor"/>
    </font>
    <font>
      <b/>
      <sz val="10.5"/>
      <name val="Calibri"/>
      <family val="2"/>
      <scheme val="minor"/>
    </font>
    <font>
      <sz val="10.5"/>
      <name val="Calibri"/>
      <family val="2"/>
      <scheme val="minor"/>
    </font>
    <font>
      <u/>
      <sz val="10.5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rgb="FFFF0000"/>
      <name val="Calibri"/>
      <family val="2"/>
      <scheme val="minor"/>
    </font>
    <font>
      <sz val="8"/>
      <name val="Calibri"/>
      <family val="2"/>
      <scheme val="minor"/>
    </font>
    <font>
      <i/>
      <sz val="10.5"/>
      <name val="Calibri"/>
      <family val="2"/>
      <scheme val="minor"/>
    </font>
    <font>
      <b/>
      <i/>
      <sz val="10.5"/>
      <color rgb="FFFF0000"/>
      <name val="Calibri"/>
      <family val="2"/>
      <scheme val="minor"/>
    </font>
    <font>
      <sz val="9"/>
      <name val="Verdana"/>
      <family val="2"/>
    </font>
    <font>
      <b/>
      <sz val="9"/>
      <name val="Verdana"/>
      <family val="2"/>
    </font>
    <font>
      <b/>
      <sz val="10.5"/>
      <color theme="1"/>
      <name val="Calibri"/>
      <family val="2"/>
      <scheme val="minor"/>
    </font>
    <font>
      <b/>
      <sz val="12"/>
      <color rgb="FF003E6C"/>
      <name val="Calibri"/>
      <family val="2"/>
      <scheme val="minor"/>
    </font>
    <font>
      <b/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1FAE6"/>
        <bgColor indexed="64"/>
      </patternFill>
    </fill>
    <fill>
      <patternFill patternType="solid">
        <fgColor rgb="FFDDF0FF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40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84">
    <xf numFmtId="0" fontId="0" fillId="0" borderId="0" xfId="0"/>
    <xf numFmtId="0" fontId="2" fillId="0" borderId="0" xfId="0" applyFont="1"/>
    <xf numFmtId="0" fontId="5" fillId="0" borderId="0" xfId="0" applyFont="1"/>
    <xf numFmtId="44" fontId="4" fillId="0" borderId="1" xfId="19" applyFont="1" applyBorder="1"/>
    <xf numFmtId="44" fontId="4" fillId="0" borderId="1" xfId="0" applyNumberFormat="1" applyFont="1" applyBorder="1"/>
    <xf numFmtId="44" fontId="2" fillId="0" borderId="0" xfId="1" applyFont="1"/>
    <xf numFmtId="0" fontId="7" fillId="0" borderId="0" xfId="0" applyFont="1"/>
    <xf numFmtId="44" fontId="5" fillId="0" borderId="0" xfId="0" applyNumberFormat="1" applyFont="1" applyAlignment="1">
      <alignment horizontal="right"/>
    </xf>
    <xf numFmtId="0" fontId="3" fillId="0" borderId="0" xfId="0" applyFont="1"/>
    <xf numFmtId="0" fontId="11" fillId="0" borderId="0" xfId="0" applyFont="1"/>
    <xf numFmtId="44" fontId="4" fillId="0" borderId="0" xfId="19" applyFont="1" applyBorder="1"/>
    <xf numFmtId="0" fontId="10" fillId="0" borderId="0" xfId="0" applyFont="1"/>
    <xf numFmtId="0" fontId="12" fillId="0" borderId="0" xfId="0" applyFont="1"/>
    <xf numFmtId="0" fontId="12" fillId="0" borderId="0" xfId="0" applyFont="1" applyAlignment="1">
      <alignment vertical="top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44" fontId="10" fillId="0" borderId="0" xfId="0" applyNumberFormat="1" applyFont="1"/>
    <xf numFmtId="44" fontId="2" fillId="3" borderId="8" xfId="19" applyFont="1" applyFill="1" applyBorder="1"/>
    <xf numFmtId="0" fontId="2" fillId="0" borderId="0" xfId="0" applyFont="1"/>
    <xf numFmtId="0" fontId="5" fillId="0" borderId="0" xfId="0" applyFont="1"/>
    <xf numFmtId="0" fontId="12" fillId="0" borderId="0" xfId="0" applyFont="1"/>
    <xf numFmtId="0" fontId="5" fillId="2" borderId="2" xfId="0" applyFont="1" applyFill="1" applyBorder="1" applyAlignment="1">
      <alignment horizontal="right"/>
    </xf>
    <xf numFmtId="166" fontId="5" fillId="2" borderId="0" xfId="39" applyFont="1" applyFill="1" applyBorder="1" applyAlignment="1">
      <alignment horizontal="right"/>
    </xf>
    <xf numFmtId="0" fontId="10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/>
    </xf>
    <xf numFmtId="166" fontId="5" fillId="0" borderId="0" xfId="39" applyFont="1" applyFill="1" applyBorder="1"/>
    <xf numFmtId="166" fontId="4" fillId="0" borderId="1" xfId="39" applyFont="1" applyBorder="1"/>
    <xf numFmtId="0" fontId="3" fillId="4" borderId="4" xfId="0" applyFont="1" applyFill="1" applyBorder="1" applyAlignment="1">
      <alignment vertical="center"/>
    </xf>
    <xf numFmtId="0" fontId="8" fillId="4" borderId="5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166" fontId="16" fillId="4" borderId="5" xfId="39" applyFont="1" applyFill="1" applyBorder="1" applyAlignment="1">
      <alignment horizontal="left" vertical="center" wrapText="1"/>
    </xf>
    <xf numFmtId="166" fontId="16" fillId="4" borderId="5" xfId="39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2" fillId="3" borderId="7" xfId="0" applyFont="1" applyFill="1" applyBorder="1"/>
    <xf numFmtId="0" fontId="14" fillId="3" borderId="8" xfId="0" applyFont="1" applyFill="1" applyBorder="1"/>
    <xf numFmtId="0" fontId="5" fillId="3" borderId="8" xfId="0" applyFont="1" applyFill="1" applyBorder="1" applyAlignment="1">
      <alignment wrapText="1"/>
    </xf>
    <xf numFmtId="0" fontId="2" fillId="3" borderId="8" xfId="0" applyFont="1" applyFill="1" applyBorder="1"/>
    <xf numFmtId="0" fontId="2" fillId="3" borderId="9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5" fillId="0" borderId="2" xfId="0" applyFont="1" applyBorder="1"/>
    <xf numFmtId="0" fontId="5" fillId="0" borderId="3" xfId="0" applyFont="1" applyBorder="1"/>
    <xf numFmtId="0" fontId="15" fillId="0" borderId="2" xfId="0" applyFont="1" applyBorder="1" applyAlignment="1">
      <alignment horizontal="center"/>
    </xf>
    <xf numFmtId="0" fontId="15" fillId="0" borderId="3" xfId="0" applyFont="1" applyBorder="1" applyAlignment="1">
      <alignment horizontal="left"/>
    </xf>
    <xf numFmtId="0" fontId="4" fillId="0" borderId="3" xfId="0" applyFont="1" applyBorder="1"/>
    <xf numFmtId="0" fontId="4" fillId="2" borderId="0" xfId="0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5" fillId="2" borderId="3" xfId="0" applyFont="1" applyFill="1" applyBorder="1"/>
    <xf numFmtId="0" fontId="5" fillId="0" borderId="2" xfId="0" applyFont="1" applyBorder="1" applyAlignment="1">
      <alignment horizontal="center" vertic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10" fillId="0" borderId="3" xfId="0" applyFont="1" applyBorder="1"/>
    <xf numFmtId="0" fontId="5" fillId="0" borderId="2" xfId="0" applyFont="1" applyBorder="1" applyAlignment="1">
      <alignment horizontal="right"/>
    </xf>
    <xf numFmtId="0" fontId="5" fillId="0" borderId="0" xfId="0" applyFont="1" applyAlignment="1">
      <alignment horizontal="right"/>
    </xf>
    <xf numFmtId="0" fontId="14" fillId="3" borderId="0" xfId="0" applyFont="1" applyFill="1" applyBorder="1"/>
    <xf numFmtId="0" fontId="5" fillId="3" borderId="0" xfId="0" applyFont="1" applyFill="1" applyBorder="1"/>
    <xf numFmtId="0" fontId="2" fillId="3" borderId="0" xfId="0" applyFont="1" applyFill="1" applyBorder="1"/>
    <xf numFmtId="44" fontId="2" fillId="3" borderId="0" xfId="19" applyFont="1" applyFill="1" applyBorder="1"/>
    <xf numFmtId="14" fontId="5" fillId="3" borderId="0" xfId="0" applyNumberFormat="1" applyFont="1" applyFill="1" applyBorder="1" applyAlignment="1">
      <alignment horizontal="left"/>
    </xf>
    <xf numFmtId="0" fontId="5" fillId="0" borderId="0" xfId="0" applyFont="1" applyBorder="1"/>
    <xf numFmtId="44" fontId="5" fillId="0" borderId="0" xfId="19" applyFont="1" applyBorder="1"/>
    <xf numFmtId="0" fontId="15" fillId="0" borderId="0" xfId="0" applyFont="1" applyBorder="1" applyAlignment="1">
      <alignment horizontal="left"/>
    </xf>
    <xf numFmtId="0" fontId="15" fillId="0" borderId="0" xfId="0" applyFont="1" applyBorder="1" applyAlignment="1">
      <alignment horizontal="center"/>
    </xf>
    <xf numFmtId="0" fontId="15" fillId="0" borderId="0" xfId="0" applyFont="1" applyBorder="1"/>
    <xf numFmtId="0" fontId="5" fillId="0" borderId="0" xfId="0" applyFont="1" applyBorder="1" applyAlignment="1">
      <alignment horizontal="center"/>
    </xf>
    <xf numFmtId="44" fontId="4" fillId="0" borderId="2" xfId="19" applyFont="1" applyBorder="1" applyAlignment="1">
      <alignment horizontal="right"/>
    </xf>
    <xf numFmtId="0" fontId="4" fillId="0" borderId="0" xfId="0" applyFont="1" applyBorder="1"/>
    <xf numFmtId="0" fontId="4" fillId="0" borderId="0" xfId="0" applyFont="1" applyBorder="1" applyAlignment="1">
      <alignment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right"/>
    </xf>
    <xf numFmtId="44" fontId="4" fillId="0" borderId="0" xfId="19" applyFont="1" applyBorder="1" applyAlignment="1">
      <alignment horizontal="right"/>
    </xf>
    <xf numFmtId="0" fontId="4" fillId="2" borderId="0" xfId="0" applyFont="1" applyFill="1" applyBorder="1"/>
    <xf numFmtId="0" fontId="5" fillId="2" borderId="0" xfId="0" applyFont="1" applyFill="1" applyBorder="1"/>
    <xf numFmtId="0" fontId="5" fillId="2" borderId="0" xfId="0" applyFont="1" applyFill="1" applyBorder="1" applyAlignment="1">
      <alignment horizontal="right"/>
    </xf>
    <xf numFmtId="44" fontId="5" fillId="2" borderId="0" xfId="19" applyFont="1" applyFill="1" applyBorder="1" applyAlignment="1">
      <alignment horizontal="right"/>
    </xf>
    <xf numFmtId="0" fontId="6" fillId="0" borderId="0" xfId="0" applyFont="1" applyBorder="1" applyAlignment="1">
      <alignment horizontal="left" vertical="center"/>
    </xf>
    <xf numFmtId="44" fontId="5" fillId="0" borderId="0" xfId="19" applyFont="1" applyFill="1" applyBorder="1"/>
    <xf numFmtId="44" fontId="5" fillId="0" borderId="0" xfId="0" applyNumberFormat="1" applyFont="1" applyBorder="1" applyAlignment="1">
      <alignment horizontal="right"/>
    </xf>
    <xf numFmtId="0" fontId="6" fillId="0" borderId="0" xfId="0" applyFont="1" applyBorder="1"/>
    <xf numFmtId="44" fontId="4" fillId="0" borderId="0" xfId="0" applyNumberFormat="1" applyFont="1" applyBorder="1"/>
    <xf numFmtId="0" fontId="6" fillId="0" borderId="0" xfId="0" applyFont="1" applyBorder="1" applyAlignment="1">
      <alignment vertical="center"/>
    </xf>
  </cellXfs>
  <cellStyles count="40">
    <cellStyle name="Standaard" xfId="0" builtinId="0"/>
    <cellStyle name="Valuta" xfId="1" builtinId="4"/>
    <cellStyle name="Valuta 10" xfId="19" xr:uid="{9065AB30-1EBE-41B0-B504-9063AA82630C}"/>
    <cellStyle name="Valuta 10 2" xfId="39" xr:uid="{5DC83632-4627-4D4E-A4F3-CC7BF427B93E}"/>
    <cellStyle name="Valuta 10 3" xfId="38" xr:uid="{551AA01D-8C97-465B-8527-E4AB1D845AC3}"/>
    <cellStyle name="Valuta 11" xfId="10" xr:uid="{1E76D0D0-B3BE-46D7-9D5B-F9949AF0D494}"/>
    <cellStyle name="Valuta 11 2" xfId="29" xr:uid="{2F3D06DB-C7CD-486D-B578-26270AEC4FB1}"/>
    <cellStyle name="Valuta 12" xfId="20" xr:uid="{BB625073-632F-426C-BA5B-C417BE04FFA5}"/>
    <cellStyle name="Valuta 2" xfId="2" xr:uid="{2D397130-A88A-4A78-BCAE-29AB936F9ECC}"/>
    <cellStyle name="Valuta 2 2" xfId="11" xr:uid="{5F26969A-FAC3-4E10-B79E-8C04168DFB51}"/>
    <cellStyle name="Valuta 2 2 2" xfId="30" xr:uid="{E91797EE-F065-4364-9DFB-BE1771973BAF}"/>
    <cellStyle name="Valuta 2 3" xfId="21" xr:uid="{CB0CC204-8B44-4B09-AE33-CC1844DADA70}"/>
    <cellStyle name="Valuta 3" xfId="3" xr:uid="{D6CE95A5-7B3A-4DC7-AA48-30E44C6BEEB7}"/>
    <cellStyle name="Valuta 3 2" xfId="12" xr:uid="{973EDEFD-F394-430C-9B08-670C8815E38A}"/>
    <cellStyle name="Valuta 3 2 2" xfId="31" xr:uid="{FE131223-A897-4341-B595-B8F9F286DC58}"/>
    <cellStyle name="Valuta 3 3" xfId="22" xr:uid="{C190468C-ABE0-4DF3-8EBE-B74FCF00C96A}"/>
    <cellStyle name="Valuta 4" xfId="4" xr:uid="{951F9886-5BAE-4FAA-A336-591F37D6FE08}"/>
    <cellStyle name="Valuta 4 2" xfId="13" xr:uid="{8A02D37A-0EC5-43BA-8986-C63C3DE54E46}"/>
    <cellStyle name="Valuta 4 2 2" xfId="32" xr:uid="{956D3D2A-3019-44D7-B36D-26017F60F74D}"/>
    <cellStyle name="Valuta 4 3" xfId="23" xr:uid="{FC14C2BC-DD08-4528-8F92-964BEFFB0458}"/>
    <cellStyle name="Valuta 5" xfId="5" xr:uid="{9AFAC975-6FA5-44C2-A19D-8C77DD81357D}"/>
    <cellStyle name="Valuta 5 2" xfId="14" xr:uid="{7F307C80-6314-4037-8424-972805C12DD8}"/>
    <cellStyle name="Valuta 5 2 2" xfId="33" xr:uid="{0A307169-79EA-4D1D-9256-FFF54DDA05EC}"/>
    <cellStyle name="Valuta 5 3" xfId="24" xr:uid="{E7E73E6B-4D35-4BD9-B378-31C5475F52D3}"/>
    <cellStyle name="Valuta 6" xfId="6" xr:uid="{9268B2F4-7A30-4A34-A90E-D531B81E09E9}"/>
    <cellStyle name="Valuta 6 2" xfId="15" xr:uid="{4F3F19F5-D622-4C34-B6F1-1FE5A896A873}"/>
    <cellStyle name="Valuta 6 2 2" xfId="34" xr:uid="{21D92312-E983-4334-8797-D5CBD199B3B3}"/>
    <cellStyle name="Valuta 6 3" xfId="25" xr:uid="{539F3451-A6DA-49F9-9D0F-6FAF523556F2}"/>
    <cellStyle name="Valuta 7" xfId="7" xr:uid="{3B4352BF-0AB4-46A6-A576-6FFC5615BEF3}"/>
    <cellStyle name="Valuta 7 2" xfId="16" xr:uid="{7114E0C6-B1F5-4566-8602-3479BB802F38}"/>
    <cellStyle name="Valuta 7 2 2" xfId="35" xr:uid="{83E7F187-E6F3-474D-A9E4-12DDB8357184}"/>
    <cellStyle name="Valuta 7 3" xfId="26" xr:uid="{F21E03B7-81B0-44AE-A072-86868D83C38E}"/>
    <cellStyle name="Valuta 8" xfId="8" xr:uid="{85EF3F8C-436E-4ED6-BE42-3DA890558755}"/>
    <cellStyle name="Valuta 8 2" xfId="17" xr:uid="{9568E216-276E-4CB0-8BA7-AD3A9A19DE2F}"/>
    <cellStyle name="Valuta 8 2 2" xfId="36" xr:uid="{C9181FC7-07A3-4998-AF55-00A54EB83C3C}"/>
    <cellStyle name="Valuta 8 3" xfId="27" xr:uid="{EC5361E6-91F1-4AA9-BE12-743935E12A55}"/>
    <cellStyle name="Valuta 9" xfId="9" xr:uid="{770D3941-9602-4ABE-9D4B-337E982594CB}"/>
    <cellStyle name="Valuta 9 2" xfId="18" xr:uid="{1A55E9BB-B9F6-4078-B4EF-1232AEBA6314}"/>
    <cellStyle name="Valuta 9 2 2" xfId="37" xr:uid="{59F4BB5B-B2AC-417B-A2A7-873E48F96F70}"/>
    <cellStyle name="Valuta 9 3" xfId="28" xr:uid="{1DFE0E99-9BAC-49FF-A29B-4C3F11435AC2}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3E6C"/>
      <color rgb="FFE8BFBE"/>
      <color rgb="FFDDF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S110"/>
  <sheetViews>
    <sheetView tabSelected="1" zoomScaleNormal="100" workbookViewId="0">
      <pane ySplit="8" topLeftCell="A9" activePane="bottomLeft" state="frozen"/>
      <selection pane="bottomLeft" activeCell="I26" sqref="I26"/>
    </sheetView>
  </sheetViews>
  <sheetFormatPr defaultRowHeight="14.25" x14ac:dyDescent="0.25"/>
  <cols>
    <col min="1" max="1" width="9.140625" style="1"/>
    <col min="2" max="2" width="8.42578125" style="1" customWidth="1"/>
    <col min="3" max="3" width="30.42578125" style="1" customWidth="1"/>
    <col min="4" max="4" width="74.42578125" style="1" bestFit="1" customWidth="1"/>
    <col min="5" max="5" width="14.85546875" style="1" customWidth="1"/>
    <col min="6" max="6" width="10.42578125" style="1" customWidth="1"/>
    <col min="7" max="7" width="9.28515625" style="1" bestFit="1" customWidth="1"/>
    <col min="8" max="8" width="10.140625" style="1" customWidth="1"/>
    <col min="9" max="9" width="33.5703125" style="5" customWidth="1"/>
    <col min="10" max="10" width="17.7109375" style="1" bestFit="1" customWidth="1"/>
    <col min="11" max="11" width="41.7109375" style="1" customWidth="1"/>
    <col min="12" max="18" width="9.140625" style="1"/>
    <col min="19" max="19" width="84.28515625" style="1" bestFit="1" customWidth="1"/>
    <col min="20" max="16384" width="9.140625" style="1"/>
  </cols>
  <sheetData>
    <row r="1" spans="2:19" ht="18.75" customHeight="1" thickBot="1" x14ac:dyDescent="0.3"/>
    <row r="2" spans="2:19" x14ac:dyDescent="0.25">
      <c r="B2" s="35"/>
      <c r="C2" s="36" t="s">
        <v>12</v>
      </c>
      <c r="D2" s="37" t="s">
        <v>32</v>
      </c>
      <c r="E2" s="38"/>
      <c r="F2" s="38"/>
      <c r="G2" s="38"/>
      <c r="H2" s="38"/>
      <c r="I2" s="19"/>
      <c r="J2" s="38"/>
      <c r="K2" s="39"/>
      <c r="L2" s="17"/>
      <c r="S2" s="17"/>
    </row>
    <row r="3" spans="2:19" x14ac:dyDescent="0.25">
      <c r="B3" s="40"/>
      <c r="C3" s="57" t="s">
        <v>0</v>
      </c>
      <c r="D3" s="58" t="s">
        <v>33</v>
      </c>
      <c r="E3" s="59"/>
      <c r="F3" s="59"/>
      <c r="G3" s="59"/>
      <c r="H3" s="59"/>
      <c r="I3" s="60"/>
      <c r="J3" s="59"/>
      <c r="K3" s="41"/>
      <c r="L3" s="12"/>
    </row>
    <row r="4" spans="2:19" x14ac:dyDescent="0.25">
      <c r="B4" s="40"/>
      <c r="C4" s="57" t="s">
        <v>13</v>
      </c>
      <c r="D4" s="61">
        <v>45881</v>
      </c>
      <c r="E4" s="59"/>
      <c r="F4" s="59"/>
      <c r="G4" s="59"/>
      <c r="H4" s="59"/>
      <c r="I4" s="60"/>
      <c r="J4" s="59"/>
      <c r="K4" s="41"/>
      <c r="L4" s="12"/>
    </row>
    <row r="5" spans="2:19" x14ac:dyDescent="0.25">
      <c r="B5" s="42"/>
      <c r="C5" s="62"/>
      <c r="D5" s="62"/>
      <c r="E5" s="62"/>
      <c r="F5" s="62"/>
      <c r="G5" s="62"/>
      <c r="H5" s="62"/>
      <c r="I5" s="63"/>
      <c r="J5" s="62"/>
      <c r="K5" s="43"/>
      <c r="L5" s="14"/>
    </row>
    <row r="6" spans="2:19" s="6" customFormat="1" ht="15.75" x14ac:dyDescent="0.25">
      <c r="B6" s="44" t="s">
        <v>7</v>
      </c>
      <c r="C6" s="64" t="s">
        <v>1</v>
      </c>
      <c r="D6" s="64" t="s">
        <v>3</v>
      </c>
      <c r="E6" s="65"/>
      <c r="F6" s="65"/>
      <c r="G6" s="66"/>
      <c r="H6" s="66"/>
      <c r="I6" s="65" t="s">
        <v>14</v>
      </c>
      <c r="J6" s="66"/>
      <c r="K6" s="45" t="s">
        <v>4</v>
      </c>
      <c r="L6" s="12"/>
    </row>
    <row r="7" spans="2:19" x14ac:dyDescent="0.25">
      <c r="B7" s="26"/>
      <c r="C7" s="62"/>
      <c r="D7" s="62"/>
      <c r="E7" s="62"/>
      <c r="F7" s="62"/>
      <c r="G7" s="67"/>
      <c r="H7" s="67"/>
      <c r="I7" s="67"/>
      <c r="J7" s="67"/>
      <c r="K7" s="43"/>
      <c r="L7" s="12"/>
    </row>
    <row r="8" spans="2:19" s="17" customFormat="1" ht="28.5" x14ac:dyDescent="0.25">
      <c r="B8" s="68"/>
      <c r="C8" s="69"/>
      <c r="D8" s="69"/>
      <c r="E8" s="70" t="s">
        <v>8</v>
      </c>
      <c r="F8" s="70" t="s">
        <v>10</v>
      </c>
      <c r="G8" s="71" t="s">
        <v>9</v>
      </c>
      <c r="H8" s="72" t="s">
        <v>5</v>
      </c>
      <c r="I8" s="73" t="s">
        <v>46</v>
      </c>
      <c r="J8" s="73" t="s">
        <v>2</v>
      </c>
      <c r="K8" s="46"/>
      <c r="L8" s="16"/>
    </row>
    <row r="9" spans="2:19" s="2" customFormat="1" x14ac:dyDescent="0.25">
      <c r="B9" s="23"/>
      <c r="C9" s="74" t="s">
        <v>11</v>
      </c>
      <c r="D9" s="74" t="s">
        <v>6</v>
      </c>
      <c r="E9" s="75"/>
      <c r="F9" s="75"/>
      <c r="G9" s="76"/>
      <c r="H9" s="76"/>
      <c r="I9" s="77"/>
      <c r="J9" s="76"/>
      <c r="K9" s="50"/>
      <c r="L9" s="12"/>
    </row>
    <row r="10" spans="2:19" s="2" customFormat="1" ht="12.75" customHeight="1" x14ac:dyDescent="0.25">
      <c r="B10" s="51">
        <v>2</v>
      </c>
      <c r="C10" s="78" t="s">
        <v>34</v>
      </c>
      <c r="D10" s="62" t="s">
        <v>26</v>
      </c>
      <c r="E10" s="62">
        <v>1</v>
      </c>
      <c r="F10" s="62">
        <v>24</v>
      </c>
      <c r="G10" s="62">
        <f>F10*E10</f>
        <v>24</v>
      </c>
      <c r="H10" s="79" t="s">
        <v>15</v>
      </c>
      <c r="I10" s="79">
        <v>0</v>
      </c>
      <c r="J10" s="80">
        <f>I10*G10</f>
        <v>0</v>
      </c>
      <c r="K10" s="25" t="str">
        <f>IFERROR(VLOOKUP(D10,#REF!,4,FALSE)," ")</f>
        <v xml:space="preserve"> </v>
      </c>
      <c r="L10" s="12"/>
    </row>
    <row r="11" spans="2:19" s="2" customFormat="1" ht="12.75" customHeight="1" x14ac:dyDescent="0.25">
      <c r="B11" s="51">
        <v>2</v>
      </c>
      <c r="C11" s="78"/>
      <c r="D11" s="62" t="s">
        <v>27</v>
      </c>
      <c r="E11" s="62">
        <v>1</v>
      </c>
      <c r="F11" s="62">
        <v>24</v>
      </c>
      <c r="G11" s="62">
        <f t="shared" ref="G11:G32" si="0">F11*E11</f>
        <v>24</v>
      </c>
      <c r="H11" s="79" t="s">
        <v>15</v>
      </c>
      <c r="I11" s="79">
        <v>0</v>
      </c>
      <c r="J11" s="80">
        <f t="shared" ref="J11:J25" si="1">I11*G11</f>
        <v>0</v>
      </c>
      <c r="K11" s="25" t="str">
        <f>IFERROR(VLOOKUP(D11,#REF!,4,FALSE)," ")</f>
        <v xml:space="preserve"> </v>
      </c>
      <c r="L11" s="12"/>
    </row>
    <row r="12" spans="2:19" s="2" customFormat="1" ht="12.75" customHeight="1" x14ac:dyDescent="0.25">
      <c r="B12" s="51">
        <v>2</v>
      </c>
      <c r="C12" s="78"/>
      <c r="D12" s="62" t="s">
        <v>31</v>
      </c>
      <c r="E12" s="62">
        <v>0.36</v>
      </c>
      <c r="F12" s="62">
        <v>24</v>
      </c>
      <c r="G12" s="62">
        <f t="shared" si="0"/>
        <v>8.64</v>
      </c>
      <c r="H12" s="79" t="s">
        <v>42</v>
      </c>
      <c r="I12" s="79">
        <v>0</v>
      </c>
      <c r="J12" s="80">
        <f t="shared" si="1"/>
        <v>0</v>
      </c>
      <c r="K12" s="25" t="str">
        <f>IFERROR(VLOOKUP(D12,#REF!,4,FALSE)," ")</f>
        <v xml:space="preserve"> </v>
      </c>
      <c r="L12" s="12"/>
    </row>
    <row r="13" spans="2:19" s="2" customFormat="1" ht="13.5" customHeight="1" x14ac:dyDescent="0.25">
      <c r="B13" s="51">
        <v>2</v>
      </c>
      <c r="C13" s="78"/>
      <c r="D13" s="62" t="s">
        <v>24</v>
      </c>
      <c r="E13" s="62">
        <v>1</v>
      </c>
      <c r="F13" s="62">
        <v>24</v>
      </c>
      <c r="G13" s="62">
        <f t="shared" si="0"/>
        <v>24</v>
      </c>
      <c r="H13" s="79" t="s">
        <v>43</v>
      </c>
      <c r="I13" s="79">
        <v>0</v>
      </c>
      <c r="J13" s="80">
        <f t="shared" si="1"/>
        <v>0</v>
      </c>
      <c r="K13" s="25" t="str">
        <f>IFERROR(VLOOKUP(D13,#REF!,4,FALSE)," ")</f>
        <v xml:space="preserve"> </v>
      </c>
      <c r="L13" s="12"/>
    </row>
    <row r="14" spans="2:19" s="2" customFormat="1" ht="13.5" customHeight="1" x14ac:dyDescent="0.25">
      <c r="B14" s="51">
        <v>2</v>
      </c>
      <c r="C14" s="78"/>
      <c r="D14" s="62" t="s">
        <v>25</v>
      </c>
      <c r="E14" s="62">
        <v>5</v>
      </c>
      <c r="F14" s="62">
        <v>24</v>
      </c>
      <c r="G14" s="62">
        <f t="shared" si="0"/>
        <v>120</v>
      </c>
      <c r="H14" s="79" t="s">
        <v>44</v>
      </c>
      <c r="I14" s="79">
        <v>0</v>
      </c>
      <c r="J14" s="80">
        <f t="shared" si="1"/>
        <v>0</v>
      </c>
      <c r="K14" s="25" t="str">
        <f>IFERROR(VLOOKUP(D14,#REF!,4,FALSE)," ")</f>
        <v xml:space="preserve"> </v>
      </c>
      <c r="L14" s="12"/>
    </row>
    <row r="15" spans="2:19" s="2" customFormat="1" ht="13.5" customHeight="1" x14ac:dyDescent="0.25">
      <c r="B15" s="51">
        <v>3</v>
      </c>
      <c r="C15" s="78" t="s">
        <v>35</v>
      </c>
      <c r="D15" s="62" t="s">
        <v>16</v>
      </c>
      <c r="E15" s="62">
        <v>1</v>
      </c>
      <c r="F15" s="62">
        <v>24</v>
      </c>
      <c r="G15" s="62">
        <f t="shared" si="0"/>
        <v>24</v>
      </c>
      <c r="H15" s="79" t="s">
        <v>15</v>
      </c>
      <c r="I15" s="79">
        <v>0</v>
      </c>
      <c r="J15" s="80">
        <f t="shared" si="1"/>
        <v>0</v>
      </c>
      <c r="K15" s="25" t="str">
        <f>IFERROR(VLOOKUP(D15,#REF!,4,FALSE)," ")</f>
        <v xml:space="preserve"> </v>
      </c>
      <c r="L15" s="12"/>
    </row>
    <row r="16" spans="2:19" s="2" customFormat="1" ht="13.5" customHeight="1" x14ac:dyDescent="0.25">
      <c r="B16" s="51">
        <v>3</v>
      </c>
      <c r="C16" s="78"/>
      <c r="D16" s="62" t="s">
        <v>20</v>
      </c>
      <c r="E16" s="62">
        <v>1</v>
      </c>
      <c r="F16" s="62">
        <v>24</v>
      </c>
      <c r="G16" s="62">
        <f t="shared" si="0"/>
        <v>24</v>
      </c>
      <c r="H16" s="79" t="s">
        <v>15</v>
      </c>
      <c r="I16" s="79">
        <v>0</v>
      </c>
      <c r="J16" s="80">
        <f t="shared" si="1"/>
        <v>0</v>
      </c>
      <c r="K16" s="25" t="str">
        <f>IFERROR(VLOOKUP(D16,#REF!,4,FALSE)," ")</f>
        <v xml:space="preserve"> </v>
      </c>
      <c r="L16" s="12"/>
    </row>
    <row r="17" spans="2:12" s="2" customFormat="1" ht="13.5" customHeight="1" x14ac:dyDescent="0.25">
      <c r="B17" s="51">
        <v>3</v>
      </c>
      <c r="C17" s="78"/>
      <c r="D17" s="62" t="s">
        <v>19</v>
      </c>
      <c r="E17" s="62">
        <v>1</v>
      </c>
      <c r="F17" s="62">
        <v>24</v>
      </c>
      <c r="G17" s="62">
        <f t="shared" ref="G17" si="2">F17*E17</f>
        <v>24</v>
      </c>
      <c r="H17" s="79" t="s">
        <v>15</v>
      </c>
      <c r="I17" s="79">
        <v>0</v>
      </c>
      <c r="J17" s="80">
        <f t="shared" si="1"/>
        <v>0</v>
      </c>
      <c r="K17" s="25"/>
      <c r="L17" s="12"/>
    </row>
    <row r="18" spans="2:12" s="2" customFormat="1" ht="14.25" customHeight="1" x14ac:dyDescent="0.25">
      <c r="B18" s="51">
        <v>3</v>
      </c>
      <c r="C18" s="78"/>
      <c r="D18" s="62" t="s">
        <v>29</v>
      </c>
      <c r="E18" s="62">
        <v>1</v>
      </c>
      <c r="F18" s="62">
        <v>24</v>
      </c>
      <c r="G18" s="62">
        <f t="shared" si="0"/>
        <v>24</v>
      </c>
      <c r="H18" s="79" t="s">
        <v>15</v>
      </c>
      <c r="I18" s="79">
        <v>0</v>
      </c>
      <c r="J18" s="80">
        <f t="shared" si="1"/>
        <v>0</v>
      </c>
      <c r="K18" s="25" t="str">
        <f>IFERROR(VLOOKUP(D18,#REF!,4,FALSE)," ")</f>
        <v xml:space="preserve"> </v>
      </c>
      <c r="L18" s="12"/>
    </row>
    <row r="19" spans="2:12" s="2" customFormat="1" x14ac:dyDescent="0.25">
      <c r="B19" s="51">
        <v>4</v>
      </c>
      <c r="C19" s="78" t="s">
        <v>36</v>
      </c>
      <c r="D19" s="62" t="s">
        <v>37</v>
      </c>
      <c r="E19" s="62">
        <v>1</v>
      </c>
      <c r="F19" s="62">
        <v>24</v>
      </c>
      <c r="G19" s="62">
        <f t="shared" si="0"/>
        <v>24</v>
      </c>
      <c r="H19" s="79" t="s">
        <v>15</v>
      </c>
      <c r="I19" s="79">
        <v>0</v>
      </c>
      <c r="J19" s="80">
        <f t="shared" si="1"/>
        <v>0</v>
      </c>
      <c r="K19" s="25" t="str">
        <f>IFERROR(VLOOKUP(D19,#REF!,4,FALSE)," ")</f>
        <v xml:space="preserve"> </v>
      </c>
      <c r="L19" s="12"/>
    </row>
    <row r="20" spans="2:12" s="2" customFormat="1" x14ac:dyDescent="0.25">
      <c r="B20" s="51">
        <v>4</v>
      </c>
      <c r="C20" s="78"/>
      <c r="D20" s="62" t="s">
        <v>29</v>
      </c>
      <c r="E20" s="62">
        <v>1</v>
      </c>
      <c r="F20" s="62">
        <v>24</v>
      </c>
      <c r="G20" s="62">
        <f t="shared" si="0"/>
        <v>24</v>
      </c>
      <c r="H20" s="79" t="s">
        <v>15</v>
      </c>
      <c r="I20" s="79">
        <v>0</v>
      </c>
      <c r="J20" s="80">
        <f t="shared" si="1"/>
        <v>0</v>
      </c>
      <c r="K20" s="25" t="str">
        <f>IFERROR(VLOOKUP(D20,#REF!,4,FALSE)," ")</f>
        <v xml:space="preserve"> </v>
      </c>
      <c r="L20" s="12"/>
    </row>
    <row r="21" spans="2:12" s="2" customFormat="1" x14ac:dyDescent="0.25">
      <c r="B21" s="51">
        <v>5</v>
      </c>
      <c r="C21" s="78" t="s">
        <v>38</v>
      </c>
      <c r="D21" s="62" t="s">
        <v>37</v>
      </c>
      <c r="E21" s="62">
        <v>1</v>
      </c>
      <c r="F21" s="62">
        <v>16</v>
      </c>
      <c r="G21" s="62">
        <f t="shared" ref="G21:G25" si="3">F21*E21</f>
        <v>16</v>
      </c>
      <c r="H21" s="79" t="s">
        <v>15</v>
      </c>
      <c r="I21" s="79">
        <v>0</v>
      </c>
      <c r="J21" s="80">
        <f t="shared" si="1"/>
        <v>0</v>
      </c>
      <c r="K21" s="25" t="str">
        <f>IFERROR(VLOOKUP(D21,#REF!,4,FALSE)," ")</f>
        <v xml:space="preserve"> </v>
      </c>
      <c r="L21" s="12"/>
    </row>
    <row r="22" spans="2:12" s="2" customFormat="1" x14ac:dyDescent="0.25">
      <c r="B22" s="51">
        <v>5</v>
      </c>
      <c r="C22" s="78"/>
      <c r="D22" s="62" t="s">
        <v>30</v>
      </c>
      <c r="E22" s="62">
        <v>1</v>
      </c>
      <c r="F22" s="62">
        <v>16</v>
      </c>
      <c r="G22" s="62">
        <f t="shared" si="3"/>
        <v>16</v>
      </c>
      <c r="H22" s="79" t="s">
        <v>15</v>
      </c>
      <c r="I22" s="79">
        <v>0</v>
      </c>
      <c r="J22" s="80">
        <f t="shared" si="1"/>
        <v>0</v>
      </c>
      <c r="K22" s="25" t="str">
        <f>IFERROR(VLOOKUP(D22,#REF!,4,FALSE)," ")</f>
        <v xml:space="preserve"> </v>
      </c>
      <c r="L22" s="12"/>
    </row>
    <row r="23" spans="2:12" s="2" customFormat="1" x14ac:dyDescent="0.25">
      <c r="B23" s="51">
        <v>5</v>
      </c>
      <c r="C23" s="78"/>
      <c r="D23" s="62" t="s">
        <v>21</v>
      </c>
      <c r="E23" s="62">
        <v>1</v>
      </c>
      <c r="F23" s="62">
        <v>16</v>
      </c>
      <c r="G23" s="62">
        <f t="shared" si="3"/>
        <v>16</v>
      </c>
      <c r="H23" s="79" t="s">
        <v>15</v>
      </c>
      <c r="I23" s="79">
        <v>0</v>
      </c>
      <c r="J23" s="80">
        <f t="shared" si="1"/>
        <v>0</v>
      </c>
      <c r="K23" s="25" t="str">
        <f>IFERROR(VLOOKUP(D23,#REF!,4,FALSE)," ")</f>
        <v xml:space="preserve"> </v>
      </c>
      <c r="L23" s="12"/>
    </row>
    <row r="24" spans="2:12" s="2" customFormat="1" x14ac:dyDescent="0.25">
      <c r="B24" s="51">
        <v>6</v>
      </c>
      <c r="C24" s="78" t="s">
        <v>39</v>
      </c>
      <c r="D24" s="62" t="s">
        <v>37</v>
      </c>
      <c r="E24" s="62">
        <v>1</v>
      </c>
      <c r="F24" s="62">
        <v>24</v>
      </c>
      <c r="G24" s="62">
        <f t="shared" si="3"/>
        <v>24</v>
      </c>
      <c r="H24" s="79" t="s">
        <v>15</v>
      </c>
      <c r="I24" s="79">
        <v>0</v>
      </c>
      <c r="J24" s="80">
        <f t="shared" si="1"/>
        <v>0</v>
      </c>
      <c r="K24" s="25" t="str">
        <f>IFERROR(VLOOKUP(D24,#REF!,4,FALSE)," ")</f>
        <v xml:space="preserve"> </v>
      </c>
      <c r="L24" s="12"/>
    </row>
    <row r="25" spans="2:12" s="2" customFormat="1" x14ac:dyDescent="0.25">
      <c r="B25" s="51">
        <v>6</v>
      </c>
      <c r="C25" s="78"/>
      <c r="D25" s="62" t="s">
        <v>29</v>
      </c>
      <c r="E25" s="62">
        <v>1</v>
      </c>
      <c r="F25" s="62">
        <v>24</v>
      </c>
      <c r="G25" s="62">
        <f t="shared" si="3"/>
        <v>24</v>
      </c>
      <c r="H25" s="79" t="s">
        <v>15</v>
      </c>
      <c r="I25" s="79">
        <v>0</v>
      </c>
      <c r="J25" s="80">
        <f t="shared" si="1"/>
        <v>0</v>
      </c>
      <c r="K25" s="25" t="str">
        <f>IFERROR(VLOOKUP(D25,#REF!,4,FALSE)," ")</f>
        <v xml:space="preserve"> </v>
      </c>
      <c r="L25" s="12"/>
    </row>
    <row r="26" spans="2:12" ht="15" customHeight="1" x14ac:dyDescent="0.25">
      <c r="B26" s="51"/>
      <c r="C26" s="81"/>
      <c r="D26" s="62"/>
      <c r="E26" s="62"/>
      <c r="F26" s="62"/>
      <c r="G26" s="62"/>
      <c r="H26" s="79" t="str">
        <f>IFERROR(VLOOKUP(D26,#REF!,2,FALSE)," ")</f>
        <v xml:space="preserve"> </v>
      </c>
      <c r="I26" s="3" t="s">
        <v>2</v>
      </c>
      <c r="J26" s="4">
        <f>SUM(J10:J25)</f>
        <v>0</v>
      </c>
      <c r="K26" s="25"/>
      <c r="L26" s="12"/>
    </row>
    <row r="27" spans="2:12" ht="15" customHeight="1" x14ac:dyDescent="0.25">
      <c r="B27" s="51"/>
      <c r="C27" s="81"/>
      <c r="D27" s="62"/>
      <c r="E27" s="62"/>
      <c r="F27" s="62"/>
      <c r="G27" s="62"/>
      <c r="H27" s="79" t="str">
        <f>IFERROR(VLOOKUP(D27,#REF!,2,FALSE)," ")</f>
        <v xml:space="preserve"> </v>
      </c>
      <c r="I27" s="10"/>
      <c r="J27" s="82"/>
      <c r="K27" s="25"/>
      <c r="L27" s="12"/>
    </row>
    <row r="28" spans="2:12" s="2" customFormat="1" x14ac:dyDescent="0.25">
      <c r="B28" s="23"/>
      <c r="C28" s="74" t="s">
        <v>11</v>
      </c>
      <c r="D28" s="74" t="s">
        <v>28</v>
      </c>
      <c r="E28" s="75"/>
      <c r="F28" s="75"/>
      <c r="G28" s="75"/>
      <c r="H28" s="76"/>
      <c r="I28" s="77"/>
      <c r="J28" s="76"/>
      <c r="K28" s="50"/>
      <c r="L28" s="12"/>
    </row>
    <row r="29" spans="2:12" s="2" customFormat="1" x14ac:dyDescent="0.25">
      <c r="B29" s="26">
        <v>8</v>
      </c>
      <c r="C29" s="83" t="s">
        <v>40</v>
      </c>
      <c r="D29" s="62" t="s">
        <v>17</v>
      </c>
      <c r="E29" s="62">
        <v>1</v>
      </c>
      <c r="F29" s="62">
        <v>4</v>
      </c>
      <c r="G29" s="62">
        <f t="shared" si="0"/>
        <v>4</v>
      </c>
      <c r="H29" s="62" t="s">
        <v>15</v>
      </c>
      <c r="I29" s="79">
        <v>0</v>
      </c>
      <c r="J29" s="80">
        <f t="shared" ref="J29:J32" si="4">I29*G29</f>
        <v>0</v>
      </c>
      <c r="K29" s="54" t="str">
        <f>IFERROR(VLOOKUP(D29,#REF!,4,FALSE)," ")</f>
        <v xml:space="preserve"> </v>
      </c>
      <c r="L29" s="12"/>
    </row>
    <row r="30" spans="2:12" s="2" customFormat="1" x14ac:dyDescent="0.25">
      <c r="B30" s="26">
        <v>21</v>
      </c>
      <c r="C30" s="78" t="s">
        <v>41</v>
      </c>
      <c r="D30" s="62" t="s">
        <v>22</v>
      </c>
      <c r="E30" s="62">
        <v>4</v>
      </c>
      <c r="F30" s="62">
        <v>4</v>
      </c>
      <c r="G30" s="62">
        <f t="shared" si="0"/>
        <v>16</v>
      </c>
      <c r="H30" s="62" t="s">
        <v>15</v>
      </c>
      <c r="I30" s="79">
        <v>0</v>
      </c>
      <c r="J30" s="80">
        <f t="shared" si="4"/>
        <v>0</v>
      </c>
      <c r="K30" s="54" t="str">
        <f>IFERROR(VLOOKUP(D30,#REF!,4,FALSE)," ")</f>
        <v xml:space="preserve"> </v>
      </c>
      <c r="L30" s="12"/>
    </row>
    <row r="31" spans="2:12" s="2" customFormat="1" x14ac:dyDescent="0.25">
      <c r="B31" s="26">
        <v>21</v>
      </c>
      <c r="C31" s="78"/>
      <c r="D31" s="62" t="s">
        <v>23</v>
      </c>
      <c r="E31" s="62">
        <v>8</v>
      </c>
      <c r="F31" s="62">
        <v>4</v>
      </c>
      <c r="G31" s="62">
        <f t="shared" si="0"/>
        <v>32</v>
      </c>
      <c r="H31" s="62" t="s">
        <v>15</v>
      </c>
      <c r="I31" s="79">
        <v>0</v>
      </c>
      <c r="J31" s="80">
        <f t="shared" si="4"/>
        <v>0</v>
      </c>
      <c r="K31" s="54" t="str">
        <f>IFERROR(VLOOKUP(D31,#REF!,4,FALSE)," ")</f>
        <v xml:space="preserve"> </v>
      </c>
      <c r="L31" s="12"/>
    </row>
    <row r="32" spans="2:12" s="2" customFormat="1" x14ac:dyDescent="0.25">
      <c r="B32" s="26">
        <v>21</v>
      </c>
      <c r="C32" s="78"/>
      <c r="D32" s="62" t="s">
        <v>18</v>
      </c>
      <c r="E32" s="62">
        <v>4</v>
      </c>
      <c r="F32" s="62">
        <v>4</v>
      </c>
      <c r="G32" s="62">
        <f t="shared" si="0"/>
        <v>16</v>
      </c>
      <c r="H32" s="62" t="s">
        <v>15</v>
      </c>
      <c r="I32" s="79">
        <v>0</v>
      </c>
      <c r="J32" s="80">
        <f t="shared" si="4"/>
        <v>0</v>
      </c>
      <c r="K32" s="54" t="str">
        <f>IFERROR(VLOOKUP(D32,#REF!,4,FALSE)," ")</f>
        <v xml:space="preserve"> </v>
      </c>
      <c r="L32" s="12"/>
    </row>
    <row r="33" spans="2:12" x14ac:dyDescent="0.25">
      <c r="B33" s="55"/>
      <c r="C33" s="69"/>
      <c r="D33" s="62"/>
      <c r="E33" s="62"/>
      <c r="F33" s="62"/>
      <c r="G33" s="62"/>
      <c r="H33" s="62"/>
      <c r="I33" s="3" t="s">
        <v>2</v>
      </c>
      <c r="J33" s="4">
        <f>SUM(J29:J32)</f>
        <v>0</v>
      </c>
      <c r="K33" s="54"/>
      <c r="L33" s="12"/>
    </row>
    <row r="34" spans="2:12" s="20" customFormat="1" x14ac:dyDescent="0.25">
      <c r="B34" s="55"/>
      <c r="C34" s="69"/>
      <c r="D34" s="62"/>
      <c r="E34" s="62"/>
      <c r="F34" s="62"/>
      <c r="G34" s="62"/>
      <c r="H34" s="62"/>
      <c r="I34" s="10"/>
      <c r="J34" s="82"/>
      <c r="K34" s="54"/>
      <c r="L34" s="22"/>
    </row>
    <row r="35" spans="2:12" s="20" customFormat="1" x14ac:dyDescent="0.25">
      <c r="B35" s="23"/>
      <c r="C35" s="47" t="s">
        <v>47</v>
      </c>
      <c r="D35" s="47"/>
      <c r="E35" s="48"/>
      <c r="F35" s="48"/>
      <c r="G35" s="49"/>
      <c r="H35" s="49"/>
      <c r="I35" s="24"/>
      <c r="J35" s="49"/>
      <c r="K35" s="25"/>
      <c r="L35" s="22"/>
    </row>
    <row r="36" spans="2:12" s="20" customFormat="1" x14ac:dyDescent="0.25">
      <c r="B36" s="26"/>
      <c r="C36" s="52" t="s">
        <v>48</v>
      </c>
      <c r="D36" s="21" t="s">
        <v>49</v>
      </c>
      <c r="E36" s="21">
        <v>1</v>
      </c>
      <c r="F36" s="21">
        <v>1</v>
      </c>
      <c r="G36" s="56">
        <v>1</v>
      </c>
      <c r="H36" s="53" t="s">
        <v>50</v>
      </c>
      <c r="I36" s="27">
        <v>0</v>
      </c>
      <c r="J36" s="7">
        <v>0</v>
      </c>
      <c r="K36" s="25"/>
      <c r="L36" s="22"/>
    </row>
    <row r="37" spans="2:12" s="20" customFormat="1" x14ac:dyDescent="0.25">
      <c r="B37" s="26"/>
      <c r="C37" s="21"/>
      <c r="D37" s="21" t="s">
        <v>51</v>
      </c>
      <c r="E37" s="21">
        <v>1</v>
      </c>
      <c r="F37" s="21">
        <v>1</v>
      </c>
      <c r="G37" s="56">
        <v>1</v>
      </c>
      <c r="H37" s="53" t="s">
        <v>50</v>
      </c>
      <c r="I37" s="27">
        <v>0</v>
      </c>
      <c r="J37" s="7">
        <v>0</v>
      </c>
      <c r="K37" s="25"/>
      <c r="L37" s="22"/>
    </row>
    <row r="38" spans="2:12" s="20" customFormat="1" x14ac:dyDescent="0.25">
      <c r="B38" s="26"/>
      <c r="C38" s="21"/>
      <c r="D38" s="21" t="s">
        <v>52</v>
      </c>
      <c r="E38" s="21">
        <v>1</v>
      </c>
      <c r="F38" s="21">
        <v>1</v>
      </c>
      <c r="G38" s="56">
        <v>1</v>
      </c>
      <c r="H38" s="53" t="s">
        <v>50</v>
      </c>
      <c r="I38" s="27">
        <v>0</v>
      </c>
      <c r="J38" s="7">
        <v>0</v>
      </c>
      <c r="K38" s="25"/>
      <c r="L38" s="22"/>
    </row>
    <row r="39" spans="2:12" s="20" customFormat="1" x14ac:dyDescent="0.25">
      <c r="B39" s="26"/>
      <c r="C39" s="21"/>
      <c r="D39" s="21" t="s">
        <v>53</v>
      </c>
      <c r="E39" s="21">
        <v>1</v>
      </c>
      <c r="F39" s="21">
        <v>1</v>
      </c>
      <c r="G39" s="56">
        <v>1</v>
      </c>
      <c r="H39" s="53" t="s">
        <v>50</v>
      </c>
      <c r="I39" s="27">
        <v>0</v>
      </c>
      <c r="J39" s="7">
        <v>0</v>
      </c>
      <c r="K39" s="25"/>
      <c r="L39" s="22"/>
    </row>
    <row r="40" spans="2:12" s="20" customFormat="1" x14ac:dyDescent="0.25">
      <c r="B40" s="26"/>
      <c r="C40" s="21"/>
      <c r="D40" s="21" t="s">
        <v>54</v>
      </c>
      <c r="E40" s="21">
        <v>1</v>
      </c>
      <c r="F40" s="21">
        <v>1</v>
      </c>
      <c r="G40" s="56">
        <v>1</v>
      </c>
      <c r="H40" s="53" t="s">
        <v>50</v>
      </c>
      <c r="I40" s="27">
        <v>0</v>
      </c>
      <c r="J40" s="7">
        <v>0</v>
      </c>
      <c r="K40" s="25"/>
      <c r="L40" s="22"/>
    </row>
    <row r="41" spans="2:12" s="20" customFormat="1" x14ac:dyDescent="0.25">
      <c r="B41" s="26"/>
      <c r="C41" s="21"/>
      <c r="D41" s="21" t="s">
        <v>55</v>
      </c>
      <c r="E41" s="21">
        <v>1</v>
      </c>
      <c r="F41" s="21">
        <v>1</v>
      </c>
      <c r="G41" s="56">
        <v>1</v>
      </c>
      <c r="H41" s="53" t="s">
        <v>50</v>
      </c>
      <c r="I41" s="27">
        <v>0</v>
      </c>
      <c r="J41" s="7">
        <v>0</v>
      </c>
      <c r="K41" s="25"/>
      <c r="L41" s="22"/>
    </row>
    <row r="42" spans="2:12" s="20" customFormat="1" x14ac:dyDescent="0.25">
      <c r="B42" s="26"/>
      <c r="C42" s="21"/>
      <c r="D42" s="21"/>
      <c r="E42" s="21"/>
      <c r="F42" s="21"/>
      <c r="G42" s="56"/>
      <c r="H42" s="56"/>
      <c r="I42" s="28" t="s">
        <v>2</v>
      </c>
      <c r="J42" s="4">
        <f>SUM(J36:J41)</f>
        <v>0</v>
      </c>
      <c r="K42" s="25"/>
      <c r="L42" s="22"/>
    </row>
    <row r="43" spans="2:12" ht="15" thickBot="1" x14ac:dyDescent="0.3">
      <c r="B43" s="55"/>
      <c r="C43" s="69"/>
      <c r="D43" s="62"/>
      <c r="E43" s="62"/>
      <c r="F43" s="62"/>
      <c r="G43" s="62"/>
      <c r="H43" s="62"/>
      <c r="I43" s="10"/>
      <c r="J43" s="82"/>
      <c r="K43" s="43"/>
      <c r="L43" s="12"/>
    </row>
    <row r="44" spans="2:12" ht="21.75" customHeight="1" thickBot="1" x14ac:dyDescent="0.3">
      <c r="B44" s="29"/>
      <c r="C44" s="30"/>
      <c r="D44" s="31"/>
      <c r="E44" s="31"/>
      <c r="F44" s="31"/>
      <c r="G44" s="31"/>
      <c r="H44" s="31"/>
      <c r="I44" s="32" t="s">
        <v>45</v>
      </c>
      <c r="J44" s="33">
        <f>J33+J26+J42</f>
        <v>0</v>
      </c>
      <c r="K44" s="34"/>
      <c r="L44" s="12"/>
    </row>
    <row r="45" spans="2:12" x14ac:dyDescent="0.25">
      <c r="B45" s="2"/>
      <c r="C45" s="2"/>
      <c r="D45" s="2"/>
      <c r="E45" s="2"/>
      <c r="F45" s="2"/>
      <c r="G45" s="2"/>
      <c r="H45" s="2"/>
      <c r="I45" s="11"/>
      <c r="J45" s="18"/>
      <c r="K45" s="9"/>
      <c r="L45" s="12"/>
    </row>
    <row r="46" spans="2:12" x14ac:dyDescent="0.25">
      <c r="B46" s="2"/>
      <c r="C46" s="2"/>
      <c r="D46" s="8"/>
      <c r="E46" s="2"/>
      <c r="F46" s="2"/>
      <c r="G46" s="2"/>
      <c r="H46" s="2"/>
      <c r="I46" s="2"/>
      <c r="J46" s="2"/>
      <c r="K46" s="2"/>
      <c r="L46" s="12"/>
    </row>
    <row r="47" spans="2:12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12"/>
    </row>
    <row r="48" spans="2:12" x14ac:dyDescent="0.25">
      <c r="I48" s="1"/>
      <c r="L48" s="15"/>
    </row>
    <row r="49" spans="9:12" x14ac:dyDescent="0.25">
      <c r="I49" s="1"/>
      <c r="L49" s="12"/>
    </row>
    <row r="50" spans="9:12" x14ac:dyDescent="0.25">
      <c r="I50" s="1"/>
      <c r="L50" s="12"/>
    </row>
    <row r="51" spans="9:12" x14ac:dyDescent="0.25">
      <c r="I51" s="1"/>
      <c r="L51" s="12"/>
    </row>
    <row r="52" spans="9:12" x14ac:dyDescent="0.25">
      <c r="I52" s="1"/>
      <c r="L52" s="12"/>
    </row>
    <row r="53" spans="9:12" x14ac:dyDescent="0.25">
      <c r="I53" s="1"/>
      <c r="L53" s="12"/>
    </row>
    <row r="54" spans="9:12" x14ac:dyDescent="0.25">
      <c r="I54" s="1"/>
      <c r="L54" s="12"/>
    </row>
    <row r="55" spans="9:12" x14ac:dyDescent="0.25">
      <c r="L55" s="12"/>
    </row>
    <row r="56" spans="9:12" x14ac:dyDescent="0.25">
      <c r="L56" s="12"/>
    </row>
    <row r="57" spans="9:12" x14ac:dyDescent="0.25">
      <c r="L57" s="12"/>
    </row>
    <row r="58" spans="9:12" x14ac:dyDescent="0.25">
      <c r="L58" s="12"/>
    </row>
    <row r="59" spans="9:12" x14ac:dyDescent="0.25">
      <c r="L59" s="12"/>
    </row>
    <row r="60" spans="9:12" x14ac:dyDescent="0.25">
      <c r="L60" s="12"/>
    </row>
    <row r="61" spans="9:12" x14ac:dyDescent="0.25">
      <c r="L61" s="12"/>
    </row>
    <row r="62" spans="9:12" x14ac:dyDescent="0.25">
      <c r="L62" s="12"/>
    </row>
    <row r="63" spans="9:12" x14ac:dyDescent="0.25">
      <c r="L63" s="12"/>
    </row>
    <row r="64" spans="9:12" x14ac:dyDescent="0.25">
      <c r="L64" s="12"/>
    </row>
    <row r="65" spans="12:12" x14ac:dyDescent="0.25">
      <c r="L65" s="12"/>
    </row>
    <row r="66" spans="12:12" x14ac:dyDescent="0.25">
      <c r="L66" s="12"/>
    </row>
    <row r="67" spans="12:12" x14ac:dyDescent="0.25">
      <c r="L67" s="12"/>
    </row>
    <row r="68" spans="12:12" x14ac:dyDescent="0.25">
      <c r="L68" s="12"/>
    </row>
    <row r="69" spans="12:12" x14ac:dyDescent="0.25">
      <c r="L69" s="12"/>
    </row>
    <row r="70" spans="12:12" x14ac:dyDescent="0.25">
      <c r="L70" s="12"/>
    </row>
    <row r="71" spans="12:12" x14ac:dyDescent="0.25">
      <c r="L71" s="12"/>
    </row>
    <row r="72" spans="12:12" x14ac:dyDescent="0.25">
      <c r="L72" s="12"/>
    </row>
    <row r="73" spans="12:12" x14ac:dyDescent="0.25">
      <c r="L73" s="12"/>
    </row>
    <row r="74" spans="12:12" x14ac:dyDescent="0.25">
      <c r="L74" s="12"/>
    </row>
    <row r="75" spans="12:12" x14ac:dyDescent="0.25">
      <c r="L75" s="12"/>
    </row>
    <row r="76" spans="12:12" x14ac:dyDescent="0.25">
      <c r="L76" s="12"/>
    </row>
    <row r="77" spans="12:12" x14ac:dyDescent="0.25">
      <c r="L77" s="12"/>
    </row>
    <row r="78" spans="12:12" x14ac:dyDescent="0.25">
      <c r="L78" s="12"/>
    </row>
    <row r="79" spans="12:12" x14ac:dyDescent="0.25">
      <c r="L79" s="12"/>
    </row>
    <row r="80" spans="12:12" x14ac:dyDescent="0.25">
      <c r="L80" s="12"/>
    </row>
    <row r="81" spans="12:12" x14ac:dyDescent="0.25">
      <c r="L81" s="12"/>
    </row>
    <row r="82" spans="12:12" x14ac:dyDescent="0.25">
      <c r="L82" s="14"/>
    </row>
    <row r="83" spans="12:12" x14ac:dyDescent="0.25">
      <c r="L83" s="14"/>
    </row>
    <row r="84" spans="12:12" x14ac:dyDescent="0.25">
      <c r="L84" s="14"/>
    </row>
    <row r="85" spans="12:12" x14ac:dyDescent="0.25">
      <c r="L85" s="12"/>
    </row>
    <row r="86" spans="12:12" x14ac:dyDescent="0.25">
      <c r="L86" s="12"/>
    </row>
    <row r="87" spans="12:12" x14ac:dyDescent="0.25">
      <c r="L87" s="12"/>
    </row>
    <row r="88" spans="12:12" x14ac:dyDescent="0.25">
      <c r="L88" s="12"/>
    </row>
    <row r="89" spans="12:12" x14ac:dyDescent="0.25">
      <c r="L89" s="12"/>
    </row>
    <row r="90" spans="12:12" x14ac:dyDescent="0.25">
      <c r="L90" s="12"/>
    </row>
    <row r="91" spans="12:12" x14ac:dyDescent="0.25">
      <c r="L91" s="12"/>
    </row>
    <row r="92" spans="12:12" x14ac:dyDescent="0.25">
      <c r="L92" s="12"/>
    </row>
    <row r="93" spans="12:12" x14ac:dyDescent="0.25">
      <c r="L93" s="13"/>
    </row>
    <row r="94" spans="12:12" x14ac:dyDescent="0.25">
      <c r="L94" s="12"/>
    </row>
    <row r="95" spans="12:12" x14ac:dyDescent="0.25">
      <c r="L95" s="12"/>
    </row>
    <row r="96" spans="12:12" x14ac:dyDescent="0.25">
      <c r="L96" s="12"/>
    </row>
    <row r="97" spans="12:12" x14ac:dyDescent="0.25">
      <c r="L97" s="12"/>
    </row>
    <row r="98" spans="12:12" x14ac:dyDescent="0.25">
      <c r="L98" s="12"/>
    </row>
    <row r="99" spans="12:12" x14ac:dyDescent="0.25">
      <c r="L99" s="12"/>
    </row>
    <row r="100" spans="12:12" x14ac:dyDescent="0.25">
      <c r="L100" s="12"/>
    </row>
    <row r="101" spans="12:12" x14ac:dyDescent="0.25">
      <c r="L101" s="12"/>
    </row>
    <row r="102" spans="12:12" x14ac:dyDescent="0.25">
      <c r="L102" s="12"/>
    </row>
    <row r="103" spans="12:12" x14ac:dyDescent="0.25">
      <c r="L103" s="12"/>
    </row>
    <row r="104" spans="12:12" x14ac:dyDescent="0.25">
      <c r="L104" s="12"/>
    </row>
    <row r="105" spans="12:12" x14ac:dyDescent="0.25">
      <c r="L105" s="12"/>
    </row>
    <row r="106" spans="12:12" x14ac:dyDescent="0.25">
      <c r="L106" s="12"/>
    </row>
    <row r="107" spans="12:12" x14ac:dyDescent="0.25">
      <c r="L107" s="12"/>
    </row>
    <row r="108" spans="12:12" x14ac:dyDescent="0.25">
      <c r="L108" s="12"/>
    </row>
    <row r="109" spans="12:12" x14ac:dyDescent="0.25">
      <c r="L109" s="12"/>
    </row>
    <row r="110" spans="12:12" x14ac:dyDescent="0.25">
      <c r="L110" s="12"/>
    </row>
  </sheetData>
  <mergeCells count="7">
    <mergeCell ref="C24:C25"/>
    <mergeCell ref="C30:C32"/>
    <mergeCell ref="G7:J7"/>
    <mergeCell ref="C10:C14"/>
    <mergeCell ref="C15:C18"/>
    <mergeCell ref="C19:C20"/>
    <mergeCell ref="C21:C23"/>
  </mergeCells>
  <phoneticPr fontId="9" type="noConversion"/>
  <conditionalFormatting sqref="K10:K25">
    <cfRule type="cellIs" dxfId="2" priority="18" operator="equal">
      <formula>0</formula>
    </cfRule>
  </conditionalFormatting>
  <conditionalFormatting sqref="K29:K32">
    <cfRule type="cellIs" dxfId="1" priority="16" operator="equal">
      <formula>0</formula>
    </cfRule>
  </conditionalFormatting>
  <conditionalFormatting sqref="K35:K42">
    <cfRule type="cellIs" dxfId="0" priority="1" operator="equal">
      <formula>0</formula>
    </cfRule>
  </conditionalFormatting>
  <dataValidations disablePrompts="1" count="3">
    <dataValidation type="list" allowBlank="1" showInputMessage="1" showErrorMessage="1" sqref="D26:D27 D33:D34 D43" xr:uid="{55A9B919-4C00-4436-B529-798D8D50BF27}">
      <formula1>#REF!</formula1>
    </dataValidation>
    <dataValidation type="list" allowBlank="1" showInputMessage="1" sqref="D29:D32 D10:D25 D35:D42" xr:uid="{BD195248-8CF0-4148-BC52-F8BDEC77FEF1}">
      <formula1>#REF!</formula1>
    </dataValidation>
    <dataValidation type="list" allowBlank="1" showInputMessage="1" showErrorMessage="1" sqref="V2" xr:uid="{CC59E3D2-D217-4E4A-9975-6CC8B6CB3F42}">
      <formula1>$L$3:$L$110</formula1>
    </dataValidation>
  </dataValidations>
  <pageMargins left="0.7" right="0.7" top="0.75" bottom="0.75" header="0.3" footer="0.3"/>
  <pageSetup paperSize="9" scale="49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925a004-c185-43d3-b22f-52b83fade88f">
      <Terms xmlns="http://schemas.microsoft.com/office/infopath/2007/PartnerControls"/>
    </lcf76f155ced4ddcb4097134ff3c332f>
    <TaxCatchAll xmlns="da18bd57-d71f-4159-a1b8-141a3b88d51d" xsi:nil="true"/>
    <Afbeelding xmlns="c925a004-c185-43d3-b22f-52b83fade88f" xsi:nil="true"/>
    <Test xmlns="c925a004-c185-43d3-b22f-52b83fade88f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E4A77A3309064DB02673C940FDC4EC" ma:contentTypeVersion="18" ma:contentTypeDescription="Create a new document." ma:contentTypeScope="" ma:versionID="c9bc991f0c80bb4124d6d6af81e0e724">
  <xsd:schema xmlns:xsd="http://www.w3.org/2001/XMLSchema" xmlns:xs="http://www.w3.org/2001/XMLSchema" xmlns:p="http://schemas.microsoft.com/office/2006/metadata/properties" xmlns:ns2="c925a004-c185-43d3-b22f-52b83fade88f" xmlns:ns3="da18bd57-d71f-4159-a1b8-141a3b88d51d" targetNamespace="http://schemas.microsoft.com/office/2006/metadata/properties" ma:root="true" ma:fieldsID="c8aabc3d986484b59cf65dde0759f47b" ns2:_="" ns3:_="">
    <xsd:import namespace="c925a004-c185-43d3-b22f-52b83fade88f"/>
    <xsd:import namespace="da18bd57-d71f-4159-a1b8-141a3b88d5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Test" minOccurs="0"/>
                <xsd:element ref="ns2:Afbeelding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5a004-c185-43d3-b22f-52b83fade88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5a18465f-6c9c-4539-a21d-bb2cfcca8b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Test" ma:index="23" nillable="true" ma:displayName="Test" ma:format="Dropdown" ma:internalName="Test">
      <xsd:simpleType>
        <xsd:restriction base="dms:Text">
          <xsd:maxLength value="255"/>
        </xsd:restriction>
      </xsd:simpleType>
    </xsd:element>
    <xsd:element name="Afbeelding" ma:index="24" nillable="true" ma:displayName="Afbeelding" ma:format="Thumbnail" ma:internalName="Afbeelding">
      <xsd:simpleType>
        <xsd:restriction base="dms:Unknown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18bd57-d71f-4159-a1b8-141a3b88d51d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7d3cfc5f-fca3-4428-8f63-5c6889f7e0df}" ma:internalName="TaxCatchAll" ma:showField="CatchAllData" ma:web="da18bd57-d71f-4159-a1b8-141a3b88d5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441A250-BB55-41B1-9991-22E9E253B92B}">
  <ds:schemaRefs>
    <ds:schemaRef ds:uri="c925a004-c185-43d3-b22f-52b83fade88f"/>
    <ds:schemaRef ds:uri="http://purl.org/dc/elements/1.1/"/>
    <ds:schemaRef ds:uri="http://schemas.microsoft.com/office/infopath/2007/PartnerControls"/>
    <ds:schemaRef ds:uri="da18bd57-d71f-4159-a1b8-141a3b88d51d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F66DD6E-57C8-472C-AC83-08D4427A754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059FFC-EE39-41C0-A672-55F1A4FD9A4E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Kostenraming</vt:lpstr>
      <vt:lpstr>Kostenraming!Afdrukbereik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Marjolein Vloedgraven</dc:creator>
  <cp:lastModifiedBy>Niels Pannekoek</cp:lastModifiedBy>
  <cp:lastPrinted>2019-06-04T14:03:09Z</cp:lastPrinted>
  <dcterms:created xsi:type="dcterms:W3CDTF">2015-03-26T10:19:33Z</dcterms:created>
  <dcterms:modified xsi:type="dcterms:W3CDTF">2025-08-12T06:36:34Z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0x010100B6E4A77A3309064DB02673C940FDC4EC</vt:lpwstr>
  </property>
  <property fmtid="{D5CDD505-2E9C-101B-9397-08002B2CF9AE}" pid="3" name="MediaServiceImageTags">
    <vt:lpwstr/>
  </property>
</Properties>
</file>